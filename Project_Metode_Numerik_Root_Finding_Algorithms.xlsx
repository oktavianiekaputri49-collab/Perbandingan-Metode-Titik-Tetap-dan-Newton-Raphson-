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0DD5D04D-1FC1-4A41-B071-02A9259B1A39}" xr6:coauthVersionLast="47" xr6:coauthVersionMax="47" xr10:uidLastSave="{00000000-0000-0000-0000-000000000000}"/>
  <bookViews>
    <workbookView xWindow="-110" yWindow="-110" windowWidth="19420" windowHeight="10300" xr2:uid="{9A22B6B5-DBB3-42E4-8A54-A9FE9F873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E16" i="1" s="1"/>
  <c r="C2" i="1"/>
  <c r="B3" i="1" l="1"/>
  <c r="C3" i="1" s="1"/>
  <c r="D2" i="1"/>
  <c r="B17" i="1"/>
  <c r="F16" i="1"/>
  <c r="D17" i="1" l="1"/>
  <c r="C17" i="1"/>
  <c r="E17" i="1" s="1"/>
  <c r="B4" i="1"/>
  <c r="C4" i="1" s="1"/>
  <c r="D3" i="1"/>
  <c r="B5" i="1" l="1"/>
  <c r="C5" i="1" s="1"/>
  <c r="D4" i="1"/>
  <c r="B18" i="1"/>
  <c r="F17" i="1"/>
  <c r="D18" i="1" l="1"/>
  <c r="C18" i="1"/>
  <c r="E18" i="1" s="1"/>
  <c r="B6" i="1"/>
  <c r="C6" i="1" s="1"/>
  <c r="D5" i="1"/>
  <c r="B7" i="1" l="1"/>
  <c r="C7" i="1" s="1"/>
  <c r="D6" i="1"/>
  <c r="B19" i="1"/>
  <c r="F18" i="1"/>
  <c r="D19" i="1" l="1"/>
  <c r="C19" i="1"/>
  <c r="E19" i="1" s="1"/>
  <c r="B8" i="1"/>
  <c r="C8" i="1" s="1"/>
  <c r="D7" i="1"/>
  <c r="B9" i="1" l="1"/>
  <c r="C9" i="1" s="1"/>
  <c r="D9" i="1" s="1"/>
  <c r="D8" i="1"/>
  <c r="B20" i="1"/>
  <c r="F19" i="1"/>
  <c r="D20" i="1" l="1"/>
  <c r="C20" i="1"/>
  <c r="E20" i="1" s="1"/>
  <c r="F20" i="1" s="1"/>
</calcChain>
</file>

<file path=xl/sharedStrings.xml><?xml version="1.0" encoding="utf-8"?>
<sst xmlns="http://schemas.openxmlformats.org/spreadsheetml/2006/main" count="20" uniqueCount="12">
  <si>
    <t>Iterasi</t>
  </si>
  <si>
    <t>xi</t>
  </si>
  <si>
    <t>xi+1</t>
  </si>
  <si>
    <t>Error (%)</t>
  </si>
  <si>
    <t>Metode Titik Tetap</t>
  </si>
  <si>
    <t>f(x)=-(x^2+1,8x+2,5)</t>
  </si>
  <si>
    <t>x0=5</t>
  </si>
  <si>
    <t>Error</t>
  </si>
  <si>
    <t>N=25</t>
  </si>
  <si>
    <t>f(xi)</t>
  </si>
  <si>
    <t>f'(xi)</t>
  </si>
  <si>
    <t>Metode Raphson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</si>
</sst>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1" xfId="0" applyFont="1" applyBorder="1"/>
    <xf numFmtId="10" fontId="3" fillId="0" borderId="1" xfId="1" applyNumberFormat="1" applyFont="1" applyBorder="1"/>
    <xf numFmtId="10" fontId="3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/>
    <xf numFmtId="10" fontId="3" fillId="3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D00F-D9AB-4A76-956D-4D99367325F2}">
  <dimension ref="A1:I20"/>
  <sheetViews>
    <sheetView tabSelected="1" topLeftCell="A10" workbookViewId="0">
      <selection activeCell="J21" sqref="J21"/>
    </sheetView>
  </sheetViews>
  <sheetFormatPr defaultRowHeight="15.5" x14ac:dyDescent="0.35"/>
  <cols>
    <col min="1" max="3" width="8.7265625" style="1"/>
    <col min="4" max="4" width="11.453125" style="1" customWidth="1"/>
    <col min="5" max="5" width="8.7265625" style="1"/>
    <col min="6" max="6" width="13.1796875" style="1" customWidth="1"/>
    <col min="7" max="16384" width="8.7265625" style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F1" s="6" t="s">
        <v>4</v>
      </c>
    </row>
    <row r="2" spans="1:8" x14ac:dyDescent="0.35">
      <c r="A2" s="2">
        <v>0</v>
      </c>
      <c r="B2" s="2">
        <v>5</v>
      </c>
      <c r="C2" s="2">
        <f t="shared" ref="C2:C9" si="0">SQRT(1.8*B2+2.5)</f>
        <v>3.3911649915626341</v>
      </c>
      <c r="D2" s="3">
        <f t="shared" ref="D2:D9" si="1">ABS((C2-B2)/C2)</f>
        <v>0.47441956154897136</v>
      </c>
      <c r="F2" s="1" t="s">
        <v>5</v>
      </c>
    </row>
    <row r="3" spans="1:8" x14ac:dyDescent="0.35">
      <c r="A3" s="2">
        <v>1</v>
      </c>
      <c r="B3" s="2">
        <f t="shared" ref="B3:B9" si="2">C2</f>
        <v>3.3911649915626341</v>
      </c>
      <c r="C3" s="2">
        <f t="shared" si="0"/>
        <v>2.9332741066618273</v>
      </c>
      <c r="D3" s="3">
        <f t="shared" si="1"/>
        <v>0.1561023171550453</v>
      </c>
      <c r="F3" s="1" t="s">
        <v>6</v>
      </c>
    </row>
    <row r="4" spans="1:8" x14ac:dyDescent="0.35">
      <c r="A4" s="2">
        <v>2</v>
      </c>
      <c r="B4" s="2">
        <f t="shared" si="2"/>
        <v>2.9332741066618273</v>
      </c>
      <c r="C4" s="2">
        <f t="shared" si="0"/>
        <v>2.7892460257193679</v>
      </c>
      <c r="D4" s="3">
        <f t="shared" si="1"/>
        <v>5.1636922528307094E-2</v>
      </c>
      <c r="F4" s="1" t="s">
        <v>7</v>
      </c>
      <c r="G4" s="4">
        <v>5.0000000000000001E-4</v>
      </c>
    </row>
    <row r="5" spans="1:8" x14ac:dyDescent="0.35">
      <c r="A5" s="2">
        <v>3</v>
      </c>
      <c r="B5" s="2">
        <f t="shared" si="2"/>
        <v>2.7892460257193679</v>
      </c>
      <c r="C5" s="2">
        <f t="shared" si="0"/>
        <v>2.7423790486172517</v>
      </c>
      <c r="D5" s="3">
        <f t="shared" si="1"/>
        <v>1.7089897593021361E-2</v>
      </c>
      <c r="F5" s="1" t="s">
        <v>8</v>
      </c>
    </row>
    <row r="6" spans="1:8" x14ac:dyDescent="0.35">
      <c r="A6" s="2">
        <v>4</v>
      </c>
      <c r="B6" s="2">
        <f t="shared" si="2"/>
        <v>2.7423790486172517</v>
      </c>
      <c r="C6" s="2">
        <f t="shared" si="0"/>
        <v>2.7269547644783279</v>
      </c>
      <c r="D6" s="3">
        <f t="shared" si="1"/>
        <v>5.6562302902279805E-3</v>
      </c>
    </row>
    <row r="7" spans="1:8" x14ac:dyDescent="0.35">
      <c r="A7" s="2">
        <v>5</v>
      </c>
      <c r="B7" s="2">
        <f t="shared" si="2"/>
        <v>2.7269547644783279</v>
      </c>
      <c r="C7" s="2">
        <f t="shared" si="0"/>
        <v>2.7218593968206717</v>
      </c>
      <c r="D7" s="3">
        <f t="shared" si="1"/>
        <v>1.8720172186733549E-3</v>
      </c>
    </row>
    <row r="8" spans="1:8" x14ac:dyDescent="0.35">
      <c r="A8" s="2">
        <v>6</v>
      </c>
      <c r="B8" s="2">
        <f t="shared" si="2"/>
        <v>2.7218593968206717</v>
      </c>
      <c r="C8" s="2">
        <f t="shared" si="0"/>
        <v>2.7201740595552355</v>
      </c>
      <c r="D8" s="3">
        <f t="shared" si="1"/>
        <v>6.1956964096324943E-4</v>
      </c>
    </row>
    <row r="9" spans="1:8" x14ac:dyDescent="0.35">
      <c r="A9" s="7">
        <v>7</v>
      </c>
      <c r="B9" s="7">
        <f t="shared" si="2"/>
        <v>2.7201740595552355</v>
      </c>
      <c r="C9" s="7">
        <f t="shared" si="0"/>
        <v>2.7196163897137082</v>
      </c>
      <c r="D9" s="8">
        <f t="shared" si="1"/>
        <v>2.0505459653667575E-4</v>
      </c>
    </row>
    <row r="15" spans="1:8" x14ac:dyDescent="0.35">
      <c r="A15" s="5" t="s">
        <v>0</v>
      </c>
      <c r="B15" s="5" t="s">
        <v>1</v>
      </c>
      <c r="C15" s="5" t="s">
        <v>9</v>
      </c>
      <c r="D15" s="5" t="s">
        <v>10</v>
      </c>
      <c r="E15" s="5" t="s">
        <v>2</v>
      </c>
      <c r="F15" s="5" t="s">
        <v>3</v>
      </c>
      <c r="H15" s="6" t="s">
        <v>11</v>
      </c>
    </row>
    <row r="16" spans="1:8" x14ac:dyDescent="0.35">
      <c r="A16" s="2">
        <v>0</v>
      </c>
      <c r="B16" s="2">
        <v>5</v>
      </c>
      <c r="C16" s="2">
        <f>-(B16*B16)+(1.8*B16)+2.5</f>
        <v>-13.5</v>
      </c>
      <c r="D16" s="2">
        <f>-(2*B16)+1.8</f>
        <v>-8.1999999999999993</v>
      </c>
      <c r="E16" s="2">
        <f>B16-(C16/D16)</f>
        <v>3.3536585365853657</v>
      </c>
      <c r="F16" s="3">
        <f>ABS((E16-B16)/E16)</f>
        <v>0.49090909090909096</v>
      </c>
      <c r="H16" s="1" t="s">
        <v>5</v>
      </c>
    </row>
    <row r="17" spans="1:9" x14ac:dyDescent="0.35">
      <c r="A17" s="2">
        <v>1</v>
      </c>
      <c r="B17" s="2">
        <f>E16</f>
        <v>3.3536585365853657</v>
      </c>
      <c r="C17" s="2">
        <f>-(B17*B17)+(1.8*B17)+2.5</f>
        <v>-2.7104402141582389</v>
      </c>
      <c r="D17" s="2">
        <f>-(2*B17)+1.8</f>
        <v>-4.9073170731707316</v>
      </c>
      <c r="E17" s="2">
        <f>B17-(C17/D17)</f>
        <v>2.8013322504000389</v>
      </c>
      <c r="F17" s="3">
        <f>ABS((E17-B17)/E17)</f>
        <v>0.19716557581002858</v>
      </c>
      <c r="H17" s="1" t="s">
        <v>6</v>
      </c>
    </row>
    <row r="18" spans="1:9" x14ac:dyDescent="0.35">
      <c r="A18" s="2">
        <v>2</v>
      </c>
      <c r="B18" s="2">
        <f>E17</f>
        <v>2.8013322504000389</v>
      </c>
      <c r="C18" s="2">
        <f>-(B18*B18)+(1.8*B18)+2.5</f>
        <v>-0.30506432641127557</v>
      </c>
      <c r="D18" s="2">
        <f>-(2*B18)+1.8</f>
        <v>-3.8026645008000779</v>
      </c>
      <c r="E18" s="2">
        <f>B18-(C18/D18)</f>
        <v>2.7211084162050709</v>
      </c>
      <c r="F18" s="3">
        <f>ABS((E18-B18)/E18)</f>
        <v>2.948204258132801E-2</v>
      </c>
      <c r="H18" s="1" t="s">
        <v>7</v>
      </c>
      <c r="I18" s="4">
        <v>5.0000000000000001E-4</v>
      </c>
    </row>
    <row r="19" spans="1:9" x14ac:dyDescent="0.35">
      <c r="A19" s="2">
        <v>3</v>
      </c>
      <c r="B19" s="2">
        <f>E18</f>
        <v>2.7211084162050709</v>
      </c>
      <c r="C19" s="2">
        <f>-(B19*B19)+(1.8*B19)+2.5</f>
        <v>-6.4358635729417912E-3</v>
      </c>
      <c r="D19" s="2">
        <f>-(2*B19)+1.8</f>
        <v>-3.642216832410142</v>
      </c>
      <c r="E19" s="2">
        <f>B19-(C19/D19)</f>
        <v>2.7193413979661587</v>
      </c>
      <c r="F19" s="3">
        <f>ABS((E19-B19)/E19)</f>
        <v>6.4979639563969983E-4</v>
      </c>
      <c r="H19" s="1" t="s">
        <v>8</v>
      </c>
    </row>
    <row r="20" spans="1:9" x14ac:dyDescent="0.35">
      <c r="A20" s="7">
        <v>4</v>
      </c>
      <c r="B20" s="7">
        <f>E19</f>
        <v>2.7193413979661587</v>
      </c>
      <c r="C20" s="7">
        <f>-(B20*B20)+(1.8*B20)+2.5</f>
        <v>-3.1223534566748867E-6</v>
      </c>
      <c r="D20" s="7">
        <f>-(2*B20)+1.8</f>
        <v>-3.6386827959323176</v>
      </c>
      <c r="E20" s="7">
        <f>B20-(C20/D20)</f>
        <v>2.7193405398662276</v>
      </c>
      <c r="F20" s="8">
        <f>ABS((E20-B20)/E20)</f>
        <v>3.1555442157076207E-7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2026-05-23T03:26:02Z</dcterms:created>
  <dcterms:modified xsi:type="dcterms:W3CDTF">2026-05-23T03:27:47Z</dcterms:modified>
</cp:coreProperties>
</file>